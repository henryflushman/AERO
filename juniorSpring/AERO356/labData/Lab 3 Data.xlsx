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kdoggett_calpoly_edu/Documents/Cal Poly/12. Spring 2026/AERO 356/"/>
    </mc:Choice>
  </mc:AlternateContent>
  <xr:revisionPtr revIDLastSave="0" documentId="8_{02344ADF-9479-462C-B5C5-62FAABCA31A5}" xr6:coauthVersionLast="47" xr6:coauthVersionMax="47" xr10:uidLastSave="{00000000-0000-0000-0000-000000000000}"/>
  <bookViews>
    <workbookView xWindow="2688" yWindow="2688" windowWidth="9780" windowHeight="10944" xr2:uid="{7438F961-358A-4EE1-94AD-17306DAF88B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3" i="1" l="1"/>
  <c r="C4" i="1"/>
  <c r="D4" i="1" s="1"/>
  <c r="C5" i="1"/>
  <c r="D5" i="1" s="1"/>
  <c r="C6" i="1"/>
  <c r="D6" i="1" s="1"/>
  <c r="C7" i="1"/>
  <c r="D7" i="1" s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17" i="1"/>
  <c r="D17" i="1" s="1"/>
  <c r="C18" i="1"/>
  <c r="D18" i="1" s="1"/>
  <c r="C19" i="1"/>
  <c r="D19" i="1" s="1"/>
  <c r="C20" i="1"/>
  <c r="D20" i="1" s="1"/>
  <c r="C21" i="1"/>
  <c r="D21" i="1" s="1"/>
  <c r="C22" i="1"/>
  <c r="D22" i="1" s="1"/>
  <c r="C23" i="1"/>
  <c r="C24" i="1"/>
  <c r="C25" i="1"/>
  <c r="D25" i="1" s="1"/>
  <c r="C26" i="1"/>
  <c r="D26" i="1" s="1"/>
  <c r="C2" i="1"/>
  <c r="D2" i="1" s="1"/>
  <c r="D3" i="1"/>
  <c r="D23" i="1"/>
  <c r="D24" i="1"/>
</calcChain>
</file>

<file path=xl/sharedStrings.xml><?xml version="1.0" encoding="utf-8"?>
<sst xmlns="http://schemas.openxmlformats.org/spreadsheetml/2006/main" count="9" uniqueCount="9">
  <si>
    <t>Voltage (V)</t>
  </si>
  <si>
    <t>Voltage across resistor</t>
  </si>
  <si>
    <t>Current (A)</t>
  </si>
  <si>
    <t>neg current</t>
  </si>
  <si>
    <t>Resistor value = 100 ohm</t>
  </si>
  <si>
    <t>Anode V = 52</t>
  </si>
  <si>
    <t>Chamber pressure = 3.6 e-4 Torr</t>
  </si>
  <si>
    <t>Cathode 12 V 2 A</t>
  </si>
  <si>
    <t>Anode 52 V 0.025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</si>
</sst>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Raw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Current (A)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</c:f>
              <c:numCache>
                <c:formatCode>General</c:formatCode>
                <c:ptCount val="99"/>
                <c:pt idx="0">
                  <c:v>-100</c:v>
                </c:pt>
                <c:pt idx="1">
                  <c:v>-90</c:v>
                </c:pt>
                <c:pt idx="2">
                  <c:v>-80</c:v>
                </c:pt>
                <c:pt idx="3">
                  <c:v>-70</c:v>
                </c:pt>
                <c:pt idx="4">
                  <c:v>-60</c:v>
                </c:pt>
                <c:pt idx="5">
                  <c:v>-50</c:v>
                </c:pt>
                <c:pt idx="6">
                  <c:v>-40.020000000000003</c:v>
                </c:pt>
                <c:pt idx="7">
                  <c:v>-30.03</c:v>
                </c:pt>
                <c:pt idx="8">
                  <c:v>-20.010000000000002</c:v>
                </c:pt>
                <c:pt idx="9">
                  <c:v>-15</c:v>
                </c:pt>
                <c:pt idx="10">
                  <c:v>-10</c:v>
                </c:pt>
                <c:pt idx="11">
                  <c:v>-5</c:v>
                </c:pt>
                <c:pt idx="12">
                  <c:v>1.2E-2</c:v>
                </c:pt>
                <c:pt idx="13">
                  <c:v>5.0019999999999998</c:v>
                </c:pt>
                <c:pt idx="14">
                  <c:v>10</c:v>
                </c:pt>
                <c:pt idx="15">
                  <c:v>14.97</c:v>
                </c:pt>
                <c:pt idx="16">
                  <c:v>20</c:v>
                </c:pt>
                <c:pt idx="17">
                  <c:v>30</c:v>
                </c:pt>
                <c:pt idx="18">
                  <c:v>40.020000000000003</c:v>
                </c:pt>
                <c:pt idx="19">
                  <c:v>50.01</c:v>
                </c:pt>
                <c:pt idx="20">
                  <c:v>60</c:v>
                </c:pt>
                <c:pt idx="21">
                  <c:v>70</c:v>
                </c:pt>
                <c:pt idx="22">
                  <c:v>80</c:v>
                </c:pt>
                <c:pt idx="23">
                  <c:v>90</c:v>
                </c:pt>
                <c:pt idx="24">
                  <c:v>100</c:v>
                </c:pt>
              </c:numCache>
            </c:numRef>
          </c:xVal>
          <c:yVal>
            <c:numRef>
              <c:f>Sheet1!$C$2:$C$100</c:f>
              <c:numCache>
                <c:formatCode>General</c:formatCode>
                <c:ptCount val="99"/>
                <c:pt idx="0">
                  <c:v>2.7500000000000003E-3</c:v>
                </c:pt>
                <c:pt idx="1">
                  <c:v>2.31E-3</c:v>
                </c:pt>
                <c:pt idx="2">
                  <c:v>2.1700000000000001E-3</c:v>
                </c:pt>
                <c:pt idx="3">
                  <c:v>1.82E-3</c:v>
                </c:pt>
                <c:pt idx="4">
                  <c:v>1.4299999999999998E-3</c:v>
                </c:pt>
                <c:pt idx="5">
                  <c:v>1.4299999999999998E-3</c:v>
                </c:pt>
                <c:pt idx="6">
                  <c:v>1.25E-3</c:v>
                </c:pt>
                <c:pt idx="7">
                  <c:v>9.2000000000000003E-4</c:v>
                </c:pt>
                <c:pt idx="8">
                  <c:v>6.0999999999999997E-4</c:v>
                </c:pt>
                <c:pt idx="9">
                  <c:v>5.0999999999999993E-4</c:v>
                </c:pt>
                <c:pt idx="10">
                  <c:v>4.0999999999999999E-4</c:v>
                </c:pt>
                <c:pt idx="11">
                  <c:v>3.2000000000000003E-4</c:v>
                </c:pt>
                <c:pt idx="12">
                  <c:v>2.1000000000000001E-4</c:v>
                </c:pt>
                <c:pt idx="13">
                  <c:v>-1.6000000000000001E-4</c:v>
                </c:pt>
                <c:pt idx="14">
                  <c:v>-3.4300000000000003E-3</c:v>
                </c:pt>
                <c:pt idx="15">
                  <c:v>-7.7099999999999998E-3</c:v>
                </c:pt>
                <c:pt idx="16">
                  <c:v>-1.252E-2</c:v>
                </c:pt>
                <c:pt idx="17">
                  <c:v>-2.3570000000000001E-2</c:v>
                </c:pt>
                <c:pt idx="18">
                  <c:v>-3.5369999999999999E-2</c:v>
                </c:pt>
                <c:pt idx="19">
                  <c:v>-5.4429999999999999E-2</c:v>
                </c:pt>
                <c:pt idx="20">
                  <c:v>-6.2100000000000002E-2</c:v>
                </c:pt>
                <c:pt idx="21">
                  <c:v>-7.5399999999999995E-2</c:v>
                </c:pt>
                <c:pt idx="22">
                  <c:v>-9.3900000000000011E-2</c:v>
                </c:pt>
                <c:pt idx="23">
                  <c:v>-0.1109</c:v>
                </c:pt>
                <c:pt idx="24">
                  <c:v>-0.1263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27-45C7-9CDA-7E58387CD8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3235535"/>
        <c:axId val="2043241295"/>
      </c:scatterChart>
      <c:valAx>
        <c:axId val="2043235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241295"/>
        <c:crosses val="autoZero"/>
        <c:crossBetween val="midCat"/>
      </c:valAx>
      <c:valAx>
        <c:axId val="2043241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3235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Flipped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neg current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</c:f>
              <c:numCache>
                <c:formatCode>General</c:formatCode>
                <c:ptCount val="99"/>
                <c:pt idx="0">
                  <c:v>-100</c:v>
                </c:pt>
                <c:pt idx="1">
                  <c:v>-90</c:v>
                </c:pt>
                <c:pt idx="2">
                  <c:v>-80</c:v>
                </c:pt>
                <c:pt idx="3">
                  <c:v>-70</c:v>
                </c:pt>
                <c:pt idx="4">
                  <c:v>-60</c:v>
                </c:pt>
                <c:pt idx="5">
                  <c:v>-50</c:v>
                </c:pt>
                <c:pt idx="6">
                  <c:v>-40.020000000000003</c:v>
                </c:pt>
                <c:pt idx="7">
                  <c:v>-30.03</c:v>
                </c:pt>
                <c:pt idx="8">
                  <c:v>-20.010000000000002</c:v>
                </c:pt>
                <c:pt idx="9">
                  <c:v>-15</c:v>
                </c:pt>
                <c:pt idx="10">
                  <c:v>-10</c:v>
                </c:pt>
                <c:pt idx="11">
                  <c:v>-5</c:v>
                </c:pt>
                <c:pt idx="12">
                  <c:v>1.2E-2</c:v>
                </c:pt>
                <c:pt idx="13">
                  <c:v>5.0019999999999998</c:v>
                </c:pt>
                <c:pt idx="14">
                  <c:v>10</c:v>
                </c:pt>
                <c:pt idx="15">
                  <c:v>14.97</c:v>
                </c:pt>
                <c:pt idx="16">
                  <c:v>20</c:v>
                </c:pt>
                <c:pt idx="17">
                  <c:v>30</c:v>
                </c:pt>
                <c:pt idx="18">
                  <c:v>40.020000000000003</c:v>
                </c:pt>
                <c:pt idx="19">
                  <c:v>50.01</c:v>
                </c:pt>
                <c:pt idx="20">
                  <c:v>60</c:v>
                </c:pt>
                <c:pt idx="21">
                  <c:v>70</c:v>
                </c:pt>
                <c:pt idx="22">
                  <c:v>80</c:v>
                </c:pt>
                <c:pt idx="23">
                  <c:v>90</c:v>
                </c:pt>
                <c:pt idx="24">
                  <c:v>100</c:v>
                </c:pt>
              </c:numCache>
            </c:numRef>
          </c:xVal>
          <c:yVal>
            <c:numRef>
              <c:f>Sheet1!$D$2:$D$100</c:f>
              <c:numCache>
                <c:formatCode>General</c:formatCode>
                <c:ptCount val="99"/>
                <c:pt idx="0">
                  <c:v>-2.7500000000000003E-3</c:v>
                </c:pt>
                <c:pt idx="1">
                  <c:v>-2.31E-3</c:v>
                </c:pt>
                <c:pt idx="2">
                  <c:v>-2.1700000000000001E-3</c:v>
                </c:pt>
                <c:pt idx="3">
                  <c:v>-1.82E-3</c:v>
                </c:pt>
                <c:pt idx="4">
                  <c:v>-1.4299999999999998E-3</c:v>
                </c:pt>
                <c:pt idx="5">
                  <c:v>-1.4299999999999998E-3</c:v>
                </c:pt>
                <c:pt idx="6">
                  <c:v>-1.25E-3</c:v>
                </c:pt>
                <c:pt idx="7">
                  <c:v>-9.2000000000000003E-4</c:v>
                </c:pt>
                <c:pt idx="8">
                  <c:v>-6.0999999999999997E-4</c:v>
                </c:pt>
                <c:pt idx="9">
                  <c:v>-5.0999999999999993E-4</c:v>
                </c:pt>
                <c:pt idx="10">
                  <c:v>-4.0999999999999999E-4</c:v>
                </c:pt>
                <c:pt idx="11">
                  <c:v>-3.2000000000000003E-4</c:v>
                </c:pt>
                <c:pt idx="12">
                  <c:v>-2.1000000000000001E-4</c:v>
                </c:pt>
                <c:pt idx="13">
                  <c:v>1.6000000000000001E-4</c:v>
                </c:pt>
                <c:pt idx="14">
                  <c:v>3.4300000000000003E-3</c:v>
                </c:pt>
                <c:pt idx="15">
                  <c:v>7.7099999999999998E-3</c:v>
                </c:pt>
                <c:pt idx="16">
                  <c:v>1.252E-2</c:v>
                </c:pt>
                <c:pt idx="17">
                  <c:v>2.3570000000000001E-2</c:v>
                </c:pt>
                <c:pt idx="18">
                  <c:v>3.5369999999999999E-2</c:v>
                </c:pt>
                <c:pt idx="19">
                  <c:v>5.4429999999999999E-2</c:v>
                </c:pt>
                <c:pt idx="20">
                  <c:v>6.2100000000000002E-2</c:v>
                </c:pt>
                <c:pt idx="21">
                  <c:v>7.5399999999999995E-2</c:v>
                </c:pt>
                <c:pt idx="22">
                  <c:v>9.3900000000000011E-2</c:v>
                </c:pt>
                <c:pt idx="23">
                  <c:v>0.1109</c:v>
                </c:pt>
                <c:pt idx="24">
                  <c:v>0.1263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36-4A76-97B7-696D5902E7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3191055"/>
        <c:axId val="2046065359"/>
      </c:scatterChart>
      <c:valAx>
        <c:axId val="18531910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Voltage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065359"/>
        <c:crosses val="autoZero"/>
        <c:crossBetween val="midCat"/>
      </c:valAx>
      <c:valAx>
        <c:axId val="2046065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Current [A]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1910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190500</xdr:colOff>
      <xdr:row>0</xdr:row>
      <xdr:rowOff>121920</xdr:rowOff>
    </xdr:from>
    <xdr:to>
      <xdr:col>11</xdr:col>
      <xdr:colOff>495300</xdr:colOff>
      <xdr:row>15</xdr:row>
      <xdr:rowOff>121920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28C979E-9914-446E-820D-93A23E44B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205740</xdr:colOff>
      <xdr:row>16</xdr:row>
      <xdr:rowOff>41910</xdr:rowOff>
    </xdr:from>
    <xdr:to>
      <xdr:col>11</xdr:col>
      <xdr:colOff>510540</xdr:colOff>
      <xdr:row>31</xdr:row>
      <xdr:rowOff>41910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4279B2-E714-5AED-E67D-D8BAEF1B39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312885-9886-42F2-BF76-31A203B42608}">
  <dimension ref="A1:N26"/>
  <sheetViews>
    <sheetView tabSelected="1" workbookViewId="0">
      <selection activeCell="D31" sqref="D31"/>
    </sheetView>
  </sheetViews>
  <sheetFormatPr defaultRowHeight="14.45"/>
  <cols>
    <col min="1" max="1" width="9.5703125" bestFit="1" customWidth="1"/>
    <col min="2" max="2" width="9.5703125" customWidth="1"/>
    <col min="3" max="3" width="9.7109375" bestFit="1" customWidth="1"/>
    <col min="4" max="4" width="10.14062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N1" t="s">
        <v>4</v>
      </c>
    </row>
    <row r="2" spans="1:14">
      <c r="A2">
        <v>-100</v>
      </c>
      <c r="B2">
        <v>0.27500000000000002</v>
      </c>
      <c r="C2">
        <f>B2/100</f>
        <v>2.7500000000000003E-3</v>
      </c>
      <c r="D2">
        <f>C2*-1</f>
        <v>-2.7500000000000003E-3</v>
      </c>
      <c r="N2" t="s">
        <v>5</v>
      </c>
    </row>
    <row r="3" spans="1:14">
      <c r="A3">
        <v>-90</v>
      </c>
      <c r="B3">
        <v>0.23100000000000001</v>
      </c>
      <c r="C3">
        <f t="shared" ref="C3:C26" si="0">B3/100</f>
        <v>2.31E-3</v>
      </c>
      <c r="D3">
        <f t="shared" ref="D3:D26" si="1">C3*-1</f>
        <v>-2.31E-3</v>
      </c>
      <c r="N3" t="s">
        <v>6</v>
      </c>
    </row>
    <row r="4" spans="1:14">
      <c r="A4">
        <v>-80</v>
      </c>
      <c r="B4">
        <v>0.217</v>
      </c>
      <c r="C4">
        <f t="shared" si="0"/>
        <v>2.1700000000000001E-3</v>
      </c>
      <c r="D4">
        <f t="shared" si="1"/>
        <v>-2.1700000000000001E-3</v>
      </c>
      <c r="N4" t="s">
        <v>7</v>
      </c>
    </row>
    <row r="5" spans="1:14">
      <c r="A5">
        <v>-70</v>
      </c>
      <c r="B5">
        <v>0.182</v>
      </c>
      <c r="C5">
        <f t="shared" si="0"/>
        <v>1.82E-3</v>
      </c>
      <c r="D5">
        <f t="shared" si="1"/>
        <v>-1.82E-3</v>
      </c>
      <c r="N5" t="s">
        <v>8</v>
      </c>
    </row>
    <row r="6" spans="1:14">
      <c r="A6">
        <v>-60</v>
      </c>
      <c r="B6">
        <v>0.14299999999999999</v>
      </c>
      <c r="C6">
        <f t="shared" si="0"/>
        <v>1.4299999999999998E-3</v>
      </c>
      <c r="D6">
        <f t="shared" si="1"/>
        <v>-1.4299999999999998E-3</v>
      </c>
    </row>
    <row r="7" spans="1:14">
      <c r="A7">
        <v>-50</v>
      </c>
      <c r="B7">
        <v>0.14299999999999999</v>
      </c>
      <c r="C7">
        <f t="shared" si="0"/>
        <v>1.4299999999999998E-3</v>
      </c>
      <c r="D7">
        <f t="shared" si="1"/>
        <v>-1.4299999999999998E-3</v>
      </c>
    </row>
    <row r="8" spans="1:14">
      <c r="A8">
        <v>-40.020000000000003</v>
      </c>
      <c r="B8">
        <v>0.125</v>
      </c>
      <c r="C8">
        <f t="shared" si="0"/>
        <v>1.25E-3</v>
      </c>
      <c r="D8">
        <f t="shared" si="1"/>
        <v>-1.25E-3</v>
      </c>
    </row>
    <row r="9" spans="1:14">
      <c r="A9">
        <v>-30.03</v>
      </c>
      <c r="B9">
        <v>9.1999999999999998E-2</v>
      </c>
      <c r="C9">
        <f t="shared" si="0"/>
        <v>9.2000000000000003E-4</v>
      </c>
      <c r="D9">
        <f t="shared" si="1"/>
        <v>-9.2000000000000003E-4</v>
      </c>
    </row>
    <row r="10" spans="1:14">
      <c r="A10">
        <v>-20.010000000000002</v>
      </c>
      <c r="B10">
        <v>6.0999999999999999E-2</v>
      </c>
      <c r="C10">
        <f t="shared" si="0"/>
        <v>6.0999999999999997E-4</v>
      </c>
      <c r="D10">
        <f t="shared" si="1"/>
        <v>-6.0999999999999997E-4</v>
      </c>
    </row>
    <row r="11" spans="1:14">
      <c r="A11">
        <v>-15</v>
      </c>
      <c r="B11">
        <v>5.0999999999999997E-2</v>
      </c>
      <c r="C11">
        <f t="shared" si="0"/>
        <v>5.0999999999999993E-4</v>
      </c>
      <c r="D11">
        <f t="shared" si="1"/>
        <v>-5.0999999999999993E-4</v>
      </c>
    </row>
    <row r="12" spans="1:14">
      <c r="A12">
        <v>-10</v>
      </c>
      <c r="B12">
        <v>4.1000000000000002E-2</v>
      </c>
      <c r="C12">
        <f t="shared" si="0"/>
        <v>4.0999999999999999E-4</v>
      </c>
      <c r="D12">
        <f t="shared" si="1"/>
        <v>-4.0999999999999999E-4</v>
      </c>
    </row>
    <row r="13" spans="1:14">
      <c r="A13">
        <v>-5</v>
      </c>
      <c r="B13">
        <v>3.2000000000000001E-2</v>
      </c>
      <c r="C13">
        <f t="shared" si="0"/>
        <v>3.2000000000000003E-4</v>
      </c>
      <c r="D13">
        <f t="shared" si="1"/>
        <v>-3.2000000000000003E-4</v>
      </c>
    </row>
    <row r="14" spans="1:14">
      <c r="A14">
        <v>1.2E-2</v>
      </c>
      <c r="B14">
        <v>2.1000000000000001E-2</v>
      </c>
      <c r="C14">
        <f t="shared" si="0"/>
        <v>2.1000000000000001E-4</v>
      </c>
      <c r="D14">
        <f t="shared" si="1"/>
        <v>-2.1000000000000001E-4</v>
      </c>
    </row>
    <row r="15" spans="1:14">
      <c r="A15">
        <v>5.0019999999999998</v>
      </c>
      <c r="B15">
        <v>-1.6E-2</v>
      </c>
      <c r="C15">
        <f t="shared" si="0"/>
        <v>-1.6000000000000001E-4</v>
      </c>
      <c r="D15">
        <f t="shared" si="1"/>
        <v>1.6000000000000001E-4</v>
      </c>
    </row>
    <row r="16" spans="1:14">
      <c r="A16">
        <v>10</v>
      </c>
      <c r="B16">
        <v>-0.34300000000000003</v>
      </c>
      <c r="C16">
        <f t="shared" si="0"/>
        <v>-3.4300000000000003E-3</v>
      </c>
      <c r="D16">
        <f t="shared" si="1"/>
        <v>3.4300000000000003E-3</v>
      </c>
    </row>
    <row r="17" spans="1:4">
      <c r="A17">
        <v>14.97</v>
      </c>
      <c r="B17">
        <v>-0.77100000000000002</v>
      </c>
      <c r="C17">
        <f t="shared" si="0"/>
        <v>-7.7099999999999998E-3</v>
      </c>
      <c r="D17">
        <f t="shared" si="1"/>
        <v>7.7099999999999998E-3</v>
      </c>
    </row>
    <row r="18" spans="1:4">
      <c r="A18">
        <v>20</v>
      </c>
      <c r="B18">
        <v>-1.252</v>
      </c>
      <c r="C18">
        <f t="shared" si="0"/>
        <v>-1.252E-2</v>
      </c>
      <c r="D18">
        <f t="shared" si="1"/>
        <v>1.252E-2</v>
      </c>
    </row>
    <row r="19" spans="1:4">
      <c r="A19">
        <v>30</v>
      </c>
      <c r="B19">
        <v>-2.3570000000000002</v>
      </c>
      <c r="C19">
        <f t="shared" si="0"/>
        <v>-2.3570000000000001E-2</v>
      </c>
      <c r="D19">
        <f t="shared" si="1"/>
        <v>2.3570000000000001E-2</v>
      </c>
    </row>
    <row r="20" spans="1:4">
      <c r="A20">
        <v>40.020000000000003</v>
      </c>
      <c r="B20">
        <v>-3.5369999999999999</v>
      </c>
      <c r="C20">
        <f t="shared" si="0"/>
        <v>-3.5369999999999999E-2</v>
      </c>
      <c r="D20">
        <f t="shared" si="1"/>
        <v>3.5369999999999999E-2</v>
      </c>
    </row>
    <row r="21" spans="1:4">
      <c r="A21">
        <v>50.01</v>
      </c>
      <c r="B21">
        <v>-5.4429999999999996</v>
      </c>
      <c r="C21">
        <f t="shared" si="0"/>
        <v>-5.4429999999999999E-2</v>
      </c>
      <c r="D21">
        <f t="shared" si="1"/>
        <v>5.4429999999999999E-2</v>
      </c>
    </row>
    <row r="22" spans="1:4">
      <c r="A22">
        <v>60</v>
      </c>
      <c r="B22">
        <v>-6.21</v>
      </c>
      <c r="C22">
        <f t="shared" si="0"/>
        <v>-6.2100000000000002E-2</v>
      </c>
      <c r="D22">
        <f t="shared" si="1"/>
        <v>6.2100000000000002E-2</v>
      </c>
    </row>
    <row r="23" spans="1:4">
      <c r="A23">
        <v>70</v>
      </c>
      <c r="B23">
        <v>-7.54</v>
      </c>
      <c r="C23">
        <f t="shared" si="0"/>
        <v>-7.5399999999999995E-2</v>
      </c>
      <c r="D23">
        <f t="shared" si="1"/>
        <v>7.5399999999999995E-2</v>
      </c>
    </row>
    <row r="24" spans="1:4">
      <c r="A24">
        <v>80</v>
      </c>
      <c r="B24">
        <v>-9.39</v>
      </c>
      <c r="C24">
        <f t="shared" si="0"/>
        <v>-9.3900000000000011E-2</v>
      </c>
      <c r="D24">
        <f t="shared" si="1"/>
        <v>9.3900000000000011E-2</v>
      </c>
    </row>
    <row r="25" spans="1:4">
      <c r="A25">
        <v>90</v>
      </c>
      <c r="B25">
        <v>-11.09</v>
      </c>
      <c r="C25">
        <f t="shared" si="0"/>
        <v>-0.1109</v>
      </c>
      <c r="D25">
        <f t="shared" si="1"/>
        <v>0.1109</v>
      </c>
    </row>
    <row r="26" spans="1:4">
      <c r="A26">
        <v>100</v>
      </c>
      <c r="B26">
        <v>-12.63</v>
      </c>
      <c r="C26">
        <f t="shared" si="0"/>
        <v>-0.1263</v>
      </c>
      <c r="D26">
        <f t="shared" si="1"/>
        <v>0.1263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Kate Doggett</dc:creator>
  <cp:keywords/>
  <dc:description/>
  <cp:lastModifiedBy/>
  <cp:revision/>
  <dcterms:created xsi:type="dcterms:W3CDTF">2026-05-28T22:36:22Z</dcterms:created>
  <dcterms:modified xsi:type="dcterms:W3CDTF">2026-06-03T21:22:57Z</dcterms:modified>
  <cp:category/>
  <cp:contentStatus/>
</cp:coreProperties>
</file>